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DashBoard" sheetId="2" r:id="rId6"/>
    <sheet state="visible" name="KPI Summary" sheetId="3" r:id="rId7"/>
    <sheet state="visible" name="Profit By Sub-Category" sheetId="4" r:id="rId8"/>
    <sheet state="visible" name="Sales Trend Over Time" sheetId="5" r:id="rId9"/>
    <sheet state="visible" name="Top Selling" sheetId="6" r:id="rId10"/>
    <sheet state="visible" name="Profit By Product Category" sheetId="7" r:id="rId11"/>
    <sheet state="visible" name="Sales By Region" sheetId="8" r:id="rId12"/>
  </sheets>
  <definedNames/>
  <calcPr/>
  <pivotCaches>
    <pivotCache cacheId="0" r:id="rId13"/>
  </pivotCaches>
</workbook>
</file>

<file path=xl/sharedStrings.xml><?xml version="1.0" encoding="utf-8"?>
<sst xmlns="http://schemas.openxmlformats.org/spreadsheetml/2006/main" count="173" uniqueCount="77">
  <si>
    <t>Date</t>
  </si>
  <si>
    <t>KPI</t>
  </si>
  <si>
    <t xml:space="preserve"> Order_ID</t>
  </si>
  <si>
    <t>Region</t>
  </si>
  <si>
    <t>Value</t>
  </si>
  <si>
    <t>Category</t>
  </si>
  <si>
    <t>Sub-Category</t>
  </si>
  <si>
    <t>Total Sales</t>
  </si>
  <si>
    <t>Product_Name</t>
  </si>
  <si>
    <t>Sales_Amount</t>
  </si>
  <si>
    <t>Purchase_Amount</t>
  </si>
  <si>
    <t>Profit</t>
  </si>
  <si>
    <t>Quantity</t>
  </si>
  <si>
    <t>Profit_Margin</t>
  </si>
  <si>
    <t>ORD001</t>
  </si>
  <si>
    <t>North</t>
  </si>
  <si>
    <t>Electronics</t>
  </si>
  <si>
    <t>Mobile</t>
  </si>
  <si>
    <t>Samsung A14</t>
  </si>
  <si>
    <t>ORD002</t>
  </si>
  <si>
    <t>South</t>
  </si>
  <si>
    <t>Furniture</t>
  </si>
  <si>
    <t>Chair</t>
  </si>
  <si>
    <t>Office Chair</t>
  </si>
  <si>
    <t>Total Profit</t>
  </si>
  <si>
    <t>ORD003</t>
  </si>
  <si>
    <t>East</t>
  </si>
  <si>
    <t>Laptop</t>
  </si>
  <si>
    <t>Dell Inspiron</t>
  </si>
  <si>
    <t>ORD004</t>
  </si>
  <si>
    <t>West</t>
  </si>
  <si>
    <t>Office Supplies</t>
  </si>
  <si>
    <t>Pen</t>
  </si>
  <si>
    <t>Ball Pen</t>
  </si>
  <si>
    <t>Avg Profit</t>
  </si>
  <si>
    <t>ORD005</t>
  </si>
  <si>
    <t>Table</t>
  </si>
  <si>
    <t>Dining Table</t>
  </si>
  <si>
    <t>ORD006</t>
  </si>
  <si>
    <t>Redmi Note 12</t>
  </si>
  <si>
    <t>ORD007</t>
  </si>
  <si>
    <t>Notebook</t>
  </si>
  <si>
    <t>Classmate</t>
  </si>
  <si>
    <t>Avg Profit Margin</t>
  </si>
  <si>
    <t>ORD008</t>
  </si>
  <si>
    <t>Sofa</t>
  </si>
  <si>
    <t>Leather Sofa</t>
  </si>
  <si>
    <t>ORD009</t>
  </si>
  <si>
    <t>Headphones</t>
  </si>
  <si>
    <t>Boat Rockerz</t>
  </si>
  <si>
    <t>ORD010</t>
  </si>
  <si>
    <t>Gel Pen</t>
  </si>
  <si>
    <t>ORD011</t>
  </si>
  <si>
    <t>HP Pavilion</t>
  </si>
  <si>
    <t>ORD012</t>
  </si>
  <si>
    <t>Plastic Chair</t>
  </si>
  <si>
    <t>ORD013</t>
  </si>
  <si>
    <t>Spiral Book</t>
  </si>
  <si>
    <t>ORD014</t>
  </si>
  <si>
    <t>iPhone 13</t>
  </si>
  <si>
    <t>ORD015</t>
  </si>
  <si>
    <t>Study Table</t>
  </si>
  <si>
    <t>ORD016</t>
  </si>
  <si>
    <t>Sony WH</t>
  </si>
  <si>
    <t>ORD017</t>
  </si>
  <si>
    <t>Lenovo IdeaPad</t>
  </si>
  <si>
    <t>ORD018</t>
  </si>
  <si>
    <t>Fabric Sofa</t>
  </si>
  <si>
    <t>ORD019</t>
  </si>
  <si>
    <t>Marker Pen</t>
  </si>
  <si>
    <t>ORD020</t>
  </si>
  <si>
    <t>OnePlus Nord</t>
  </si>
  <si>
    <t>SUM of Profit</t>
  </si>
  <si>
    <t>Grand Total</t>
  </si>
  <si>
    <t>SUM of Sales_Amount</t>
  </si>
  <si>
    <t>SUM of Quantity</t>
  </si>
  <si>
    <t>Values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</si>
</sst>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2" numFmtId="0" xfId="0" applyFont="1"/>
    <xf borderId="0" fillId="0" fontId="2" numFmtId="164" xfId="0" applyFont="1" applyNumberFormat="1"/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1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Sub-Category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By Sub-Category'!$B$1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Sub-Category'!$A$2:$A$9</c:f>
            </c:strRef>
          </c:cat>
          <c:val>
            <c:numRef>
              <c:f>'Profit By Sub-Category'!$B$2:$B$9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 Over Time'!$B$1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Trend Over Time'!$A$2:$A$11</c:f>
            </c:strRef>
          </c:cat>
          <c:val>
            <c:numRef>
              <c:f>'Sales Trend Over Time'!$B$2:$B$11</c:f>
              <c:numCache/>
            </c:numRef>
          </c:val>
          <c:smooth val="0"/>
        </c:ser>
        <c:axId val="319132929"/>
        <c:axId val="1289864924"/>
      </c:lineChart>
      <c:catAx>
        <c:axId val="3191329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9864924"/>
      </c:catAx>
      <c:valAx>
        <c:axId val="1289864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1329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Selling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Selling'!$B$1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Selling'!$A$2:$A$21</c:f>
            </c:strRef>
          </c:cat>
          <c:val>
            <c:numRef>
              <c:f>'Top Selling'!$B$2:$B$21</c:f>
              <c:numCache/>
            </c:numRef>
          </c:val>
        </c:ser>
        <c:axId val="95717025"/>
        <c:axId val="336387748"/>
      </c:barChart>
      <c:catAx>
        <c:axId val="95717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387748"/>
      </c:catAx>
      <c:valAx>
        <c:axId val="3363877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170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Product Category</a:t>
            </a:r>
          </a:p>
        </c:rich>
      </c:tx>
      <c:overlay val="0"/>
    </c:title>
    <c:plotArea>
      <c:layout>
        <c:manualLayout>
          <c:xMode val="edge"/>
          <c:yMode val="edge"/>
          <c:x val="0.03758333333333334"/>
          <c:y val="0.14802336028751123"/>
          <c:w val="0.9381666666666668"/>
          <c:h val="0.8127583108715183"/>
        </c:manualLayout>
      </c:layout>
      <c:pieChart>
        <c:varyColors val="1"/>
        <c:ser>
          <c:idx val="0"/>
          <c:order val="0"/>
          <c:tx>
            <c:strRef>
              <c:f>'Profit By Product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Product Category'!$A$2:$A$4</c:f>
            </c:strRef>
          </c:cat>
          <c:val>
            <c:numRef>
              <c:f>'Profit By Product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Sub-Category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'Profit By Sub-Category'!$B$1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Sub-Category'!$A$2:$A$9</c:f>
            </c:strRef>
          </c:cat>
          <c:val>
            <c:numRef>
              <c:f>'Profit By Sub-Category'!$B$2:$B$9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Trend Over Time'!$B$1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Trend Over Time'!$A$2:$A$11</c:f>
            </c:strRef>
          </c:cat>
          <c:val>
            <c:numRef>
              <c:f>'Sales Trend Over Time'!$B$2:$B$11</c:f>
              <c:numCache/>
            </c:numRef>
          </c:val>
          <c:smooth val="0"/>
        </c:ser>
        <c:axId val="840025779"/>
        <c:axId val="1792543469"/>
      </c:lineChart>
      <c:catAx>
        <c:axId val="8400257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543469"/>
      </c:catAx>
      <c:valAx>
        <c:axId val="17925434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Sales_Amount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00257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Selling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Selling'!$B$1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'Top Selling'!$A$2:$A$21</c:f>
            </c:strRef>
          </c:cat>
          <c:val>
            <c:numRef>
              <c:f>'Top Selling'!$B$2:$B$21</c:f>
              <c:numCache/>
            </c:numRef>
          </c:val>
        </c:ser>
        <c:axId val="1372126504"/>
        <c:axId val="519897610"/>
      </c:barChart>
      <c:catAx>
        <c:axId val="1372126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Product_Name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9897610"/>
      </c:catAx>
      <c:valAx>
        <c:axId val="5198976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Quantity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2126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Product Category</a:t>
            </a:r>
          </a:p>
        </c:rich>
      </c:tx>
      <c:overlay val="0"/>
    </c:title>
    <c:plotArea>
      <c:layout>
        <c:manualLayout>
          <c:xMode val="edge"/>
          <c:yMode val="edge"/>
          <c:x val="0.03758333333333334"/>
          <c:y val="0.14802336028751123"/>
          <c:w val="0.9381666666666668"/>
          <c:h val="0.8127583108715183"/>
        </c:manualLayout>
      </c:layout>
      <c:pieChart>
        <c:varyColors val="1"/>
        <c:ser>
          <c:idx val="0"/>
          <c:order val="0"/>
          <c:tx>
            <c:strRef>
              <c:f>'Profit By Product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'Profit By Product Category'!$A$2:$A$4</c:f>
            </c:strRef>
          </c:cat>
          <c:val>
            <c:numRef>
              <c:f>'Profit By Product Category'!$B$2:$B$4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Region'!$B$1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Region'!$A$2:$A$5</c:f>
            </c:strRef>
          </c:cat>
          <c:val>
            <c:numRef>
              <c:f>'Sales By Region'!$B$2:$B$5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7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209550</xdr:colOff>
      <xdr:row>8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333375</xdr:colOff>
      <xdr:row>28</xdr:row>
      <xdr:rowOff>85725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581025</xdr:colOff>
      <xdr:row>26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285750</xdr:colOff>
      <xdr:row>47</xdr:row>
      <xdr:rowOff>38100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228600</xdr:colOff>
      <xdr:row>1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876300</xdr:colOff>
      <xdr:row>2</xdr:row>
      <xdr:rowOff>114300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247650</xdr:colOff>
      <xdr:row>2</xdr:row>
      <xdr:rowOff>142875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819150</xdr:colOff>
      <xdr:row>3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2</xdr:row>
      <xdr:rowOff>142875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21" sheet="Raw_Data"/>
  </cacheSource>
  <cacheFields>
    <cacheField name="Date" numFmtId="164">
      <sharedItems containsSemiMixedTypes="0" containsDate="1" containsString="0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</sharedItems>
    </cacheField>
    <cacheField name=" Order_ID" numFmtId="0">
      <sharedItems>
        <s v="ORD001"/>
        <s v="ORD002"/>
        <s v="ORD003"/>
        <s v="ORD004"/>
        <s v="ORD005"/>
        <s v="ORD006"/>
        <s v="ORD007"/>
        <s v="ORD008"/>
        <s v="ORD009"/>
        <s v="ORD010"/>
        <s v="ORD011"/>
        <s v="ORD012"/>
        <s v="ORD013"/>
        <s v="ORD014"/>
        <s v="ORD015"/>
        <s v="ORD016"/>
        <s v="ORD017"/>
        <s v="ORD018"/>
        <s v="ORD019"/>
        <s v="ORD020"/>
      </sharedItems>
    </cacheField>
    <cacheField name="Region" numFmtId="0">
      <sharedItems>
        <s v="North"/>
        <s v="South"/>
        <s v="East"/>
        <s v="West"/>
      </sharedItems>
    </cacheField>
    <cacheField name="Category" numFmtId="0">
      <sharedItems>
        <s v="Electronics"/>
        <s v="Furniture"/>
        <s v="Office Supplies"/>
      </sharedItems>
    </cacheField>
    <cacheField name="Sub-Category" numFmtId="0">
      <sharedItems>
        <s v="Mobile"/>
        <s v="Chair"/>
        <s v="Laptop"/>
        <s v="Pen"/>
        <s v="Table"/>
        <s v="Notebook"/>
        <s v="Sofa"/>
        <s v="Headphones"/>
      </sharedItems>
    </cacheField>
    <cacheField name="Product_Name" numFmtId="0">
      <sharedItems>
        <s v="Samsung A14"/>
        <s v="Office Chair"/>
        <s v="Dell Inspiron"/>
        <s v="Ball Pen"/>
        <s v="Dining Table"/>
        <s v="Redmi Note 12"/>
        <s v="Classmate"/>
        <s v="Leather Sofa"/>
        <s v="Boat Rockerz"/>
        <s v="Gel Pen"/>
        <s v="HP Pavilion"/>
        <s v="Plastic Chair"/>
        <s v="Spiral Book"/>
        <s v="iPhone 13"/>
        <s v="Study Table"/>
        <s v="Sony WH"/>
        <s v="Lenovo IdeaPad"/>
        <s v="Fabric Sofa"/>
        <s v="Marker Pen"/>
        <s v="OnePlus Nord"/>
      </sharedItems>
    </cacheField>
    <cacheField name="Sales_Amount" numFmtId="0">
      <sharedItems containsSemiMixedTypes="0" containsString="0" containsNumber="1" containsInteger="1">
        <n v="18000.0"/>
        <n v="12000.0"/>
        <n v="55000.0"/>
        <n v="2000.0"/>
        <n v="40000.0"/>
        <n v="15000.0"/>
        <n v="6000.0"/>
        <n v="65000.0"/>
        <n v="8000.0"/>
        <n v="3000.0"/>
        <n v="62000.0"/>
        <n v="9000.0"/>
        <n v="5000.0"/>
        <n v="70000.0"/>
        <n v="22000.0"/>
        <n v="48000.0"/>
        <n v="52000.0"/>
        <n v="4000.0"/>
        <n v="32000.0"/>
      </sharedItems>
    </cacheField>
    <cacheField name="Purchase_Amount" numFmtId="0">
      <sharedItems containsSemiMixedTypes="0" containsString="0" containsNumber="1" containsInteger="1">
        <n v="15000.0"/>
        <n v="9000.0"/>
        <n v="48000.0"/>
        <n v="1200.0"/>
        <n v="35000.0"/>
        <n v="13000.0"/>
        <n v="3500.0"/>
        <n v="58000.0"/>
        <n v="5000.0"/>
        <n v="2000.0"/>
        <n v="56000.0"/>
        <n v="7500.0"/>
        <n v="3000.0"/>
        <n v="65000.0"/>
        <n v="19000.0"/>
        <n v="43000.0"/>
        <n v="47000.0"/>
        <n v="2500.0"/>
        <n v="29000.0"/>
      </sharedItems>
    </cacheField>
    <cacheField name="Profit" numFmtId="0">
      <sharedItems containsSemiMixedTypes="0" containsString="0" containsNumber="1" containsInteger="1">
        <n v="3000.0"/>
        <n v="7000.0"/>
        <n v="800.0"/>
        <n v="5000.0"/>
        <n v="2000.0"/>
        <n v="2500.0"/>
        <n v="1000.0"/>
        <n v="6000.0"/>
        <n v="1500.0"/>
      </sharedItems>
    </cacheField>
    <cacheField name="Quantity" numFmtId="0">
      <sharedItems containsSemiMixedTypes="0" containsString="0" containsNumber="1" containsInteger="1">
        <n v="2.0"/>
        <n v="3.0"/>
        <n v="1.0"/>
        <n v="20.0"/>
        <n v="10.0"/>
        <n v="4.0"/>
        <n v="15.0"/>
        <n v="5.0"/>
        <n v="8.0"/>
        <n v="12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fit By Sub-Category" cacheId="0" dataCaption="" compact="0" compactData="0">
  <location ref="A1:B10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ale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urchas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4"/>
  </rowFields>
  <dataFields>
    <dataField name="SUM of Profit" fld="8" baseField="0"/>
  </dataFields>
</pivotTableDefinition>
</file>

<file path=xl/pivotTables/pivotTable2.xml><?xml version="1.0" encoding="utf-8"?>
<pivotTableDefinition xmlns="http://schemas.openxmlformats.org/spreadsheetml/2006/main" name="Sales Trend Over Time" cacheId="0" dataCaption="" compact="0" compactData="0">
  <location ref="A1:B12" firstHeaderRow="0" firstDataRow="1" firstDataCol="0"/>
  <pivotFields>
    <pivotField name="Date" axis="axisRow" compact="0" numFmtId="164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urchas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0"/>
  </rowFields>
  <dataFields>
    <dataField name="SUM of Sales_Amount" fld="6" baseField="0"/>
  </dataFields>
</pivotTableDefinition>
</file>

<file path=xl/pivotTables/pivotTable3.xml><?xml version="1.0" encoding="utf-8"?>
<pivotTableDefinition xmlns="http://schemas.openxmlformats.org/spreadsheetml/2006/main" name="Top Selling" cacheId="0" dataCaption="" compact="0" compactData="0">
  <location ref="A1:B22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_Name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urchas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antit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5"/>
  </rowFields>
  <dataFields>
    <dataField name="SUM of Quantity" fld="9" baseField="0"/>
  </dataFields>
</pivotTableDefinition>
</file>

<file path=xl/pivotTables/pivotTable4.xml><?xml version="1.0" encoding="utf-8"?>
<pivotTableDefinition xmlns="http://schemas.openxmlformats.org/spreadsheetml/2006/main" name="Profit By Product Category" cacheId="0" dataCaption="" compact="0" compactData="0">
  <location ref="A1:B5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ales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urchas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3"/>
  </rowFields>
  <dataFields>
    <dataField name="SUM of Profit" fld="8" baseField="0"/>
  </dataFields>
</pivotTableDefinition>
</file>

<file path=xl/pivotTables/pivotTable5.xml><?xml version="1.0" encoding="utf-8"?>
<pivotTableDefinition xmlns="http://schemas.openxmlformats.org/spreadsheetml/2006/main" name="Sales By Region" cacheId="0" dataCaption="" compact="0" compactData="0">
  <location ref="A1:B6" firstHeaderRow="0" firstDataRow="1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 Ord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Region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Sales_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urchase_Amou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>
    <field x="2"/>
  </rowFields>
  <dataFields>
    <dataField name="SUM of Sales_Amount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  <col customWidth="1" min="8" max="8" width="16.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3" t="s">
        <v>13</v>
      </c>
    </row>
    <row r="2">
      <c r="A2" s="4">
        <v>45292.0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18000.0</v>
      </c>
      <c r="H2" s="2">
        <v>15000.0</v>
      </c>
      <c r="I2" s="2">
        <v>3000.0</v>
      </c>
      <c r="J2" s="2">
        <v>2.0</v>
      </c>
      <c r="K2" s="5">
        <f t="shared" ref="K2:K21" si="1">I2/G2</f>
        <v>0.1666666667</v>
      </c>
    </row>
    <row r="3">
      <c r="A3" s="4">
        <v>45292.0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>
        <v>12000.0</v>
      </c>
      <c r="H3" s="2">
        <v>9000.0</v>
      </c>
      <c r="I3" s="2">
        <v>3000.0</v>
      </c>
      <c r="J3" s="2">
        <v>3.0</v>
      </c>
      <c r="K3" s="5">
        <f t="shared" si="1"/>
        <v>0.25</v>
      </c>
    </row>
    <row r="4">
      <c r="A4" s="4">
        <v>45293.0</v>
      </c>
      <c r="B4" s="2" t="s">
        <v>25</v>
      </c>
      <c r="C4" s="2" t="s">
        <v>26</v>
      </c>
      <c r="D4" s="2" t="s">
        <v>16</v>
      </c>
      <c r="E4" s="2" t="s">
        <v>27</v>
      </c>
      <c r="F4" s="2" t="s">
        <v>28</v>
      </c>
      <c r="G4" s="2">
        <v>55000.0</v>
      </c>
      <c r="H4" s="2">
        <v>48000.0</v>
      </c>
      <c r="I4" s="2">
        <v>7000.0</v>
      </c>
      <c r="J4" s="2">
        <v>1.0</v>
      </c>
      <c r="K4" s="5">
        <f t="shared" si="1"/>
        <v>0.1272727273</v>
      </c>
    </row>
    <row r="5">
      <c r="A5" s="4">
        <v>45293.0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>
        <v>2000.0</v>
      </c>
      <c r="H5" s="2">
        <v>1200.0</v>
      </c>
      <c r="I5" s="2">
        <v>800.0</v>
      </c>
      <c r="J5" s="2">
        <v>20.0</v>
      </c>
      <c r="K5" s="5">
        <f t="shared" si="1"/>
        <v>0.4</v>
      </c>
    </row>
    <row r="6">
      <c r="A6" s="4">
        <v>45294.0</v>
      </c>
      <c r="B6" s="2" t="s">
        <v>35</v>
      </c>
      <c r="C6" s="2" t="s">
        <v>15</v>
      </c>
      <c r="D6" s="2" t="s">
        <v>21</v>
      </c>
      <c r="E6" s="2" t="s">
        <v>36</v>
      </c>
      <c r="F6" s="2" t="s">
        <v>37</v>
      </c>
      <c r="G6" s="2">
        <v>40000.0</v>
      </c>
      <c r="H6" s="2">
        <v>35000.0</v>
      </c>
      <c r="I6" s="2">
        <v>5000.0</v>
      </c>
      <c r="J6" s="2">
        <v>1.0</v>
      </c>
      <c r="K6" s="5">
        <f t="shared" si="1"/>
        <v>0.125</v>
      </c>
    </row>
    <row r="7">
      <c r="A7" s="4">
        <v>45294.0</v>
      </c>
      <c r="B7" s="2" t="s">
        <v>38</v>
      </c>
      <c r="C7" s="2" t="s">
        <v>20</v>
      </c>
      <c r="D7" s="2" t="s">
        <v>16</v>
      </c>
      <c r="E7" s="2" t="s">
        <v>17</v>
      </c>
      <c r="F7" s="2" t="s">
        <v>39</v>
      </c>
      <c r="G7" s="2">
        <v>15000.0</v>
      </c>
      <c r="H7" s="2">
        <v>13000.0</v>
      </c>
      <c r="I7" s="2">
        <v>2000.0</v>
      </c>
      <c r="J7" s="2">
        <v>2.0</v>
      </c>
      <c r="K7" s="5">
        <f t="shared" si="1"/>
        <v>0.1333333333</v>
      </c>
    </row>
    <row r="8">
      <c r="A8" s="4">
        <v>45295.0</v>
      </c>
      <c r="B8" s="2" t="s">
        <v>40</v>
      </c>
      <c r="C8" s="2" t="s">
        <v>26</v>
      </c>
      <c r="D8" s="2" t="s">
        <v>31</v>
      </c>
      <c r="E8" s="2" t="s">
        <v>41</v>
      </c>
      <c r="F8" s="2" t="s">
        <v>42</v>
      </c>
      <c r="G8" s="2">
        <v>6000.0</v>
      </c>
      <c r="H8" s="2">
        <v>3500.0</v>
      </c>
      <c r="I8" s="2">
        <v>2500.0</v>
      </c>
      <c r="J8" s="2">
        <v>10.0</v>
      </c>
      <c r="K8" s="5">
        <f t="shared" si="1"/>
        <v>0.4166666667</v>
      </c>
    </row>
    <row r="9">
      <c r="A9" s="4">
        <v>45295.0</v>
      </c>
      <c r="B9" s="2" t="s">
        <v>44</v>
      </c>
      <c r="C9" s="2" t="s">
        <v>30</v>
      </c>
      <c r="D9" s="2" t="s">
        <v>21</v>
      </c>
      <c r="E9" s="2" t="s">
        <v>45</v>
      </c>
      <c r="F9" s="2" t="s">
        <v>46</v>
      </c>
      <c r="G9" s="2">
        <v>65000.0</v>
      </c>
      <c r="H9" s="2">
        <v>58000.0</v>
      </c>
      <c r="I9" s="2">
        <v>7000.0</v>
      </c>
      <c r="J9" s="2">
        <v>1.0</v>
      </c>
      <c r="K9" s="5">
        <f t="shared" si="1"/>
        <v>0.1076923077</v>
      </c>
    </row>
    <row r="10">
      <c r="A10" s="4">
        <v>45296.0</v>
      </c>
      <c r="B10" s="2" t="s">
        <v>47</v>
      </c>
      <c r="C10" s="2" t="s">
        <v>15</v>
      </c>
      <c r="D10" s="2" t="s">
        <v>16</v>
      </c>
      <c r="E10" s="2" t="s">
        <v>48</v>
      </c>
      <c r="F10" s="2" t="s">
        <v>49</v>
      </c>
      <c r="G10" s="2">
        <v>8000.0</v>
      </c>
      <c r="H10" s="2">
        <v>5000.0</v>
      </c>
      <c r="I10" s="2">
        <v>3000.0</v>
      </c>
      <c r="J10" s="2">
        <v>4.0</v>
      </c>
      <c r="K10" s="5">
        <f t="shared" si="1"/>
        <v>0.375</v>
      </c>
    </row>
    <row r="11">
      <c r="A11" s="4">
        <v>45296.0</v>
      </c>
      <c r="B11" s="2" t="s">
        <v>50</v>
      </c>
      <c r="C11" s="2" t="s">
        <v>20</v>
      </c>
      <c r="D11" s="2" t="s">
        <v>31</v>
      </c>
      <c r="E11" s="2" t="s">
        <v>32</v>
      </c>
      <c r="F11" s="2" t="s">
        <v>51</v>
      </c>
      <c r="G11" s="2">
        <v>3000.0</v>
      </c>
      <c r="H11" s="2">
        <v>2000.0</v>
      </c>
      <c r="I11" s="2">
        <v>1000.0</v>
      </c>
      <c r="J11" s="2">
        <v>15.0</v>
      </c>
      <c r="K11" s="5">
        <f t="shared" si="1"/>
        <v>0.3333333333</v>
      </c>
    </row>
    <row r="12">
      <c r="A12" s="4">
        <v>45297.0</v>
      </c>
      <c r="B12" s="2" t="s">
        <v>52</v>
      </c>
      <c r="C12" s="2" t="s">
        <v>26</v>
      </c>
      <c r="D12" s="2" t="s">
        <v>16</v>
      </c>
      <c r="E12" s="2" t="s">
        <v>27</v>
      </c>
      <c r="F12" s="2" t="s">
        <v>53</v>
      </c>
      <c r="G12" s="2">
        <v>62000.0</v>
      </c>
      <c r="H12" s="2">
        <v>56000.0</v>
      </c>
      <c r="I12" s="2">
        <v>6000.0</v>
      </c>
      <c r="J12" s="2">
        <v>1.0</v>
      </c>
      <c r="K12" s="5">
        <f t="shared" si="1"/>
        <v>0.09677419355</v>
      </c>
    </row>
    <row r="13">
      <c r="A13" s="4">
        <v>45297.0</v>
      </c>
      <c r="B13" s="2" t="s">
        <v>54</v>
      </c>
      <c r="C13" s="2" t="s">
        <v>30</v>
      </c>
      <c r="D13" s="2" t="s">
        <v>21</v>
      </c>
      <c r="E13" s="2" t="s">
        <v>22</v>
      </c>
      <c r="F13" s="2" t="s">
        <v>55</v>
      </c>
      <c r="G13" s="2">
        <v>9000.0</v>
      </c>
      <c r="H13" s="2">
        <v>7500.0</v>
      </c>
      <c r="I13" s="2">
        <v>1500.0</v>
      </c>
      <c r="J13" s="2">
        <v>5.0</v>
      </c>
      <c r="K13" s="5">
        <f t="shared" si="1"/>
        <v>0.1666666667</v>
      </c>
    </row>
    <row r="14">
      <c r="A14" s="4">
        <v>45298.0</v>
      </c>
      <c r="B14" s="2" t="s">
        <v>56</v>
      </c>
      <c r="C14" s="2" t="s">
        <v>15</v>
      </c>
      <c r="D14" s="2" t="s">
        <v>31</v>
      </c>
      <c r="E14" s="2" t="s">
        <v>41</v>
      </c>
      <c r="F14" s="2" t="s">
        <v>57</v>
      </c>
      <c r="G14" s="2">
        <v>5000.0</v>
      </c>
      <c r="H14" s="2">
        <v>3000.0</v>
      </c>
      <c r="I14" s="2">
        <v>2000.0</v>
      </c>
      <c r="J14" s="2">
        <v>8.0</v>
      </c>
      <c r="K14" s="5">
        <f t="shared" si="1"/>
        <v>0.4</v>
      </c>
    </row>
    <row r="15">
      <c r="A15" s="4">
        <v>45298.0</v>
      </c>
      <c r="B15" s="2" t="s">
        <v>58</v>
      </c>
      <c r="C15" s="2" t="s">
        <v>20</v>
      </c>
      <c r="D15" s="2" t="s">
        <v>16</v>
      </c>
      <c r="E15" s="2" t="s">
        <v>17</v>
      </c>
      <c r="F15" s="2" t="s">
        <v>59</v>
      </c>
      <c r="G15" s="2">
        <v>70000.0</v>
      </c>
      <c r="H15" s="2">
        <v>65000.0</v>
      </c>
      <c r="I15" s="2">
        <v>5000.0</v>
      </c>
      <c r="J15" s="2">
        <v>1.0</v>
      </c>
      <c r="K15" s="5">
        <f t="shared" si="1"/>
        <v>0.07142857143</v>
      </c>
    </row>
    <row r="16">
      <c r="A16" s="4">
        <v>45299.0</v>
      </c>
      <c r="B16" s="2" t="s">
        <v>60</v>
      </c>
      <c r="C16" s="2" t="s">
        <v>26</v>
      </c>
      <c r="D16" s="2" t="s">
        <v>21</v>
      </c>
      <c r="E16" s="2" t="s">
        <v>36</v>
      </c>
      <c r="F16" s="2" t="s">
        <v>61</v>
      </c>
      <c r="G16" s="2">
        <v>18000.0</v>
      </c>
      <c r="H16" s="2">
        <v>15000.0</v>
      </c>
      <c r="I16" s="2">
        <v>3000.0</v>
      </c>
      <c r="J16" s="2">
        <v>2.0</v>
      </c>
      <c r="K16" s="5">
        <f t="shared" si="1"/>
        <v>0.1666666667</v>
      </c>
    </row>
    <row r="17">
      <c r="A17" s="4">
        <v>45299.0</v>
      </c>
      <c r="B17" s="2" t="s">
        <v>62</v>
      </c>
      <c r="C17" s="2" t="s">
        <v>30</v>
      </c>
      <c r="D17" s="2" t="s">
        <v>16</v>
      </c>
      <c r="E17" s="2" t="s">
        <v>48</v>
      </c>
      <c r="F17" s="2" t="s">
        <v>63</v>
      </c>
      <c r="G17" s="2">
        <v>22000.0</v>
      </c>
      <c r="H17" s="2">
        <v>19000.0</v>
      </c>
      <c r="I17" s="2">
        <v>3000.0</v>
      </c>
      <c r="J17" s="2">
        <v>1.0</v>
      </c>
      <c r="K17" s="5">
        <f t="shared" si="1"/>
        <v>0.1363636364</v>
      </c>
    </row>
    <row r="18">
      <c r="A18" s="4">
        <v>45300.0</v>
      </c>
      <c r="B18" s="2" t="s">
        <v>64</v>
      </c>
      <c r="C18" s="2" t="s">
        <v>15</v>
      </c>
      <c r="D18" s="2" t="s">
        <v>16</v>
      </c>
      <c r="E18" s="2" t="s">
        <v>27</v>
      </c>
      <c r="F18" s="2" t="s">
        <v>65</v>
      </c>
      <c r="G18" s="2">
        <v>48000.0</v>
      </c>
      <c r="H18" s="2">
        <v>43000.0</v>
      </c>
      <c r="I18" s="2">
        <v>5000.0</v>
      </c>
      <c r="J18" s="2">
        <v>1.0</v>
      </c>
      <c r="K18" s="5">
        <f t="shared" si="1"/>
        <v>0.1041666667</v>
      </c>
    </row>
    <row r="19">
      <c r="A19" s="4">
        <v>45300.0</v>
      </c>
      <c r="B19" s="2" t="s">
        <v>66</v>
      </c>
      <c r="C19" s="2" t="s">
        <v>20</v>
      </c>
      <c r="D19" s="2" t="s">
        <v>21</v>
      </c>
      <c r="E19" s="2" t="s">
        <v>45</v>
      </c>
      <c r="F19" s="2" t="s">
        <v>67</v>
      </c>
      <c r="G19" s="2">
        <v>52000.0</v>
      </c>
      <c r="H19" s="2">
        <v>47000.0</v>
      </c>
      <c r="I19" s="2">
        <v>5000.0</v>
      </c>
      <c r="J19" s="2">
        <v>1.0</v>
      </c>
      <c r="K19" s="5">
        <f t="shared" si="1"/>
        <v>0.09615384615</v>
      </c>
    </row>
    <row r="20">
      <c r="A20" s="4">
        <v>45301.0</v>
      </c>
      <c r="B20" s="2" t="s">
        <v>68</v>
      </c>
      <c r="C20" s="2" t="s">
        <v>26</v>
      </c>
      <c r="D20" s="2" t="s">
        <v>31</v>
      </c>
      <c r="E20" s="2" t="s">
        <v>32</v>
      </c>
      <c r="F20" s="2" t="s">
        <v>69</v>
      </c>
      <c r="G20" s="2">
        <v>4000.0</v>
      </c>
      <c r="H20" s="2">
        <v>2500.0</v>
      </c>
      <c r="I20" s="2">
        <v>1500.0</v>
      </c>
      <c r="J20" s="2">
        <v>12.0</v>
      </c>
      <c r="K20" s="5">
        <f t="shared" si="1"/>
        <v>0.375</v>
      </c>
    </row>
    <row r="21">
      <c r="A21" s="4">
        <v>45301.0</v>
      </c>
      <c r="B21" s="2" t="s">
        <v>70</v>
      </c>
      <c r="C21" s="2" t="s">
        <v>30</v>
      </c>
      <c r="D21" s="2" t="s">
        <v>16</v>
      </c>
      <c r="E21" s="2" t="s">
        <v>17</v>
      </c>
      <c r="F21" s="2" t="s">
        <v>71</v>
      </c>
      <c r="G21" s="2">
        <v>32000.0</v>
      </c>
      <c r="H21" s="2">
        <v>29000.0</v>
      </c>
      <c r="I21" s="2">
        <v>3000.0</v>
      </c>
      <c r="J21" s="2">
        <v>1.0</v>
      </c>
      <c r="K21" s="5">
        <f t="shared" si="1"/>
        <v>0.09375</v>
      </c>
    </row>
    <row r="22">
      <c r="G22" s="6">
        <f>SUM(G2:G21)</f>
        <v>546000</v>
      </c>
      <c r="I22" s="6">
        <f>AVERAGE(I2:I21)</f>
        <v>3465</v>
      </c>
      <c r="K22" s="5">
        <f>AVERAGE(K2:K21)</f>
        <v>0.2070967641</v>
      </c>
    </row>
    <row r="23">
      <c r="I23" s="6">
        <f>SUM(I2:I21)</f>
        <v>69300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88"/>
  </cols>
  <sheetData>
    <row r="2">
      <c r="B2" s="8" t="s">
        <v>1</v>
      </c>
      <c r="C2" s="8" t="s">
        <v>76</v>
      </c>
    </row>
    <row r="3">
      <c r="B3" s="9" t="s">
        <v>7</v>
      </c>
      <c r="C3" s="10">
        <f>'KPI Summary'!B2</f>
        <v>546000</v>
      </c>
    </row>
    <row r="4">
      <c r="B4" s="9" t="s">
        <v>24</v>
      </c>
      <c r="C4" s="10">
        <f>'KPI Summary'!B3</f>
        <v>69300</v>
      </c>
    </row>
    <row r="5">
      <c r="B5" s="9" t="s">
        <v>34</v>
      </c>
      <c r="C5" s="10">
        <f>'KPI Summary'!B4</f>
        <v>3465</v>
      </c>
    </row>
    <row r="6">
      <c r="B6" s="9" t="s">
        <v>43</v>
      </c>
      <c r="C6" s="11">
        <f>'KPI Summary'!B5</f>
        <v>0.2070967641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" t="s">
        <v>1</v>
      </c>
      <c r="B1" s="1" t="s">
        <v>4</v>
      </c>
    </row>
    <row r="2">
      <c r="A2" s="2" t="s">
        <v>7</v>
      </c>
      <c r="B2" s="6">
        <f>SUM(Raw_Data!G2:G21)</f>
        <v>546000</v>
      </c>
    </row>
    <row r="3">
      <c r="A3" s="2" t="s">
        <v>24</v>
      </c>
      <c r="B3" s="6">
        <f>SUM(Raw_Data!I2:I21)</f>
        <v>69300</v>
      </c>
    </row>
    <row r="4">
      <c r="A4" s="2" t="s">
        <v>34</v>
      </c>
      <c r="B4" s="6">
        <f>AVERAGE(Raw_Data!I2:I21)</f>
        <v>3465</v>
      </c>
    </row>
    <row r="5">
      <c r="A5" s="2" t="s">
        <v>43</v>
      </c>
      <c r="B5" s="5">
        <f>AVERAGE(Raw_Data!K2:K21)</f>
        <v>0.2070967641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38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5"/>
  </cols>
  <sheetData>
    <row r="1"/>
    <row r="2"/>
    <row r="3"/>
    <row r="4"/>
    <row r="5"/>
    <row r="6"/>
  </sheetData>
  <drawing r:id="rId2"/>
</worksheet>
</file>